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Data Entry\Data Mining\"/>
    </mc:Choice>
  </mc:AlternateContent>
  <xr:revisionPtr revIDLastSave="0" documentId="13_ncr:1_{5D68FD40-73C7-48F3-B83D-4583FB9BF831}" xr6:coauthVersionLast="47" xr6:coauthVersionMax="47" xr10:uidLastSave="{00000000-0000-0000-0000-000000000000}"/>
  <bookViews>
    <workbookView xWindow="-120" yWindow="-120" windowWidth="20730" windowHeight="11160" xr2:uid="{CFA3954A-C253-4196-B4E8-1DB97D561BC4}"/>
  </bookViews>
  <sheets>
    <sheet name="daraz" sheetId="1" r:id="rId1"/>
  </sheet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1" l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8" i="1" a="1"/>
  <c r="C8" i="1" s="1"/>
  <c r="C4" i="1" a="1"/>
  <c r="C4" i="1" s="1"/>
  <c r="C3" i="1" a="1"/>
  <c r="C3" i="1" s="1"/>
  <c r="C5" i="1" a="1"/>
  <c r="C5" i="1" s="1"/>
  <c r="C6" i="1" a="1"/>
  <c r="C6" i="1" s="1"/>
  <c r="C7" i="1" a="1"/>
  <c r="C7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2" i="1" a="1"/>
  <c r="C2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<sst xmlns="http://schemas.openxmlformats.org/spreadsheetml/2006/main" count="110" uniqueCount="88">
  <si>
    <t>Xtra X30</t>
  </si>
  <si>
    <t>Nokia 130 (2023)</t>
  </si>
  <si>
    <t>Nokia 130 Music</t>
  </si>
  <si>
    <t>Nokia 108</t>
  </si>
  <si>
    <t>Brand</t>
  </si>
  <si>
    <t>Storage (Ram/Rom)</t>
  </si>
  <si>
    <t>Price</t>
  </si>
  <si>
    <t xml:space="preserve">Vivo Y19s Pro 6/128GB </t>
  </si>
  <si>
    <t xml:space="preserve">Realme Note 70 4/128GB </t>
  </si>
  <si>
    <t>Samsung Galaxy A07 4/64GB</t>
  </si>
  <si>
    <t xml:space="preserve">HONOR X7d 8/256GB </t>
  </si>
  <si>
    <t xml:space="preserve">Samsung Galaxy A07 6/128GB </t>
  </si>
  <si>
    <t xml:space="preserve">realme C100i 4/128GB </t>
  </si>
  <si>
    <t xml:space="preserve">realme C100i 4/64GB </t>
  </si>
  <si>
    <t>itel it5262</t>
  </si>
  <si>
    <t>Priduct Name and Model</t>
  </si>
  <si>
    <t>Proton X10 Pro 8/128GB</t>
  </si>
  <si>
    <t>Xiaomi Redmi A7 Pro 4G 4/64G</t>
  </si>
  <si>
    <t>Xiaomi Redmi Note 15 6/128GB</t>
  </si>
  <si>
    <t>Samsung Galaxy S26 Ultra 5g 12/256GB</t>
  </si>
  <si>
    <t xml:space="preserve">OPPO A6c 4/64GB </t>
  </si>
  <si>
    <t xml:space="preserve">HONOR X6c 6/256GB </t>
  </si>
  <si>
    <t xml:space="preserve">Xiaomi Redmi A7 Pro 4/64GB </t>
  </si>
  <si>
    <t xml:space="preserve">realme C71 6/128GB </t>
  </si>
  <si>
    <t xml:space="preserve">Xiaomi Redmi 15 6/128GB </t>
  </si>
  <si>
    <t xml:space="preserve">Xiaomi Redmi 15C 6/128GB </t>
  </si>
  <si>
    <t xml:space="preserve">HONOR X5c Plus 4/128GB </t>
  </si>
  <si>
    <t xml:space="preserve">Oppo A6k 4/128GB </t>
  </si>
  <si>
    <t xml:space="preserve">Xiaomi Redmi 15 8/256GB </t>
  </si>
  <si>
    <t xml:space="preserve">Xiaomi Redmi A5 6/128GB </t>
  </si>
  <si>
    <t xml:space="preserve">Xiaomi Redmi Note 15 5G 8/256GB </t>
  </si>
  <si>
    <t>Xiaomi Redmi A5 6/128GB</t>
  </si>
  <si>
    <t xml:space="preserve">Xiaomi Redmi Note 15 6/128GB </t>
  </si>
  <si>
    <t xml:space="preserve">Xiaomi Redmi Note 15 Pro Plus 5G  8/256GB </t>
  </si>
  <si>
    <t xml:space="preserve">OPPO A6x 4/64GB </t>
  </si>
  <si>
    <t>Redmi 15 6/128GB</t>
  </si>
  <si>
    <t xml:space="preserve">Proton X20 Pro 8/128GB </t>
  </si>
  <si>
    <t>Xaiomi Redmi Note 15 Pro 5g 8/256GB</t>
  </si>
  <si>
    <t xml:space="preserve">HTC Wildfire E5 Elite 6/256GB </t>
  </si>
  <si>
    <t>Itel A200 Plus 4/64GB</t>
  </si>
  <si>
    <t>Redmi 15C 6/128GB</t>
  </si>
  <si>
    <t xml:space="preserve">Xiaomi Redmi 15C 8/256GB </t>
  </si>
  <si>
    <t>Xiaomi Redmi Turbo 4 Pro 5g 12/256GB</t>
  </si>
  <si>
    <t>Samsung Galaxy A56 5G 8/256GB</t>
  </si>
  <si>
    <t>realme C100i 4/64GB</t>
  </si>
  <si>
    <t>realme C100i 4/128GB</t>
  </si>
  <si>
    <t>Infinix Hot 70 6/128GB</t>
  </si>
  <si>
    <t>Infinix Hot 70 4/128GB</t>
  </si>
  <si>
    <t>TECNO Spark 50 5G 6/128GB</t>
  </si>
  <si>
    <t>OPPO A6 8/256GB</t>
  </si>
  <si>
    <t>Tecno Spark 50 6/128GB</t>
  </si>
  <si>
    <t>Tecno Spark 50 4/128GB</t>
  </si>
  <si>
    <t>itel A200 Plus 4/64GB</t>
  </si>
  <si>
    <t>TECNO POVA Curve 2 5G 8/256GB</t>
  </si>
  <si>
    <t>Infinix Smart 20 4/128GB</t>
  </si>
  <si>
    <t>HONOR X5c Plus 4/128GB</t>
  </si>
  <si>
    <t>itel A100C 4/64GB</t>
  </si>
  <si>
    <t>TECNO SPARK Go 3 4/128GB</t>
  </si>
  <si>
    <t>TECNO SPARK Go 3 4/64GB</t>
  </si>
  <si>
    <t>Infinix Smart 10 Plus 4/128GB</t>
  </si>
  <si>
    <t>Realme C85 6/128GB</t>
  </si>
  <si>
    <t>Infinix GT 30 8/256GB</t>
  </si>
  <si>
    <t>Realme C85  8/256GB</t>
  </si>
  <si>
    <t>TECNO POVA Curve2 5G 8/128GB</t>
  </si>
  <si>
    <t>Row Labels</t>
  </si>
  <si>
    <t>HONOR</t>
  </si>
  <si>
    <t>HTC</t>
  </si>
  <si>
    <t>Infinix</t>
  </si>
  <si>
    <t>itel</t>
  </si>
  <si>
    <t>Nokia</t>
  </si>
  <si>
    <t>OPPO</t>
  </si>
  <si>
    <t>Proton</t>
  </si>
  <si>
    <t>realme</t>
  </si>
  <si>
    <t>Redmi</t>
  </si>
  <si>
    <t>Samsung</t>
  </si>
  <si>
    <t>TECNO</t>
  </si>
  <si>
    <t>Vivo</t>
  </si>
  <si>
    <t>Xaiomi</t>
  </si>
  <si>
    <t>Xiaomi</t>
  </si>
  <si>
    <t>Xtra</t>
  </si>
  <si>
    <t>Grand Total</t>
  </si>
  <si>
    <t>8/128GB</t>
  </si>
  <si>
    <t>Sum of Price</t>
  </si>
  <si>
    <t>Cheapest 8gb phone</t>
  </si>
  <si>
    <t>most common brand</t>
  </si>
  <si>
    <t>Count of Brand</t>
  </si>
  <si>
    <t>Avarage price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</si>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</sst>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BDT]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6" fontId="16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[$BDT]\ #,##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im Dewan" refreshedDate="46158.835273958335" createdVersion="8" refreshedVersion="8" minRefreshableVersion="3" recordCount="60" xr:uid="{60BB3A83-EE4C-415F-B5BA-6FC0575049C4}">
  <cacheSource type="worksheet">
    <worksheetSource name="Table1"/>
  </cacheSource>
  <cacheFields count="4">
    <cacheField name="Priduct Name and Model" numFmtId="0">
      <sharedItems count="59">
        <s v="realme C100i 4/128GB "/>
        <s v="realme C100i 4/64GB "/>
        <s v="Vivo Y19s Pro 6/128GB "/>
        <s v="HONOR X6c 6/256GB "/>
        <s v="Xiaomi Redmi A7 Pro 4/64GB "/>
        <s v="realme C71 6/128GB "/>
        <s v="Realme C85 6/128GB"/>
        <s v="OPPO A6c 4/64GB "/>
        <s v="Proton X10 Pro 8/128GB"/>
        <s v="Realme Note 70 4/128GB "/>
        <s v="Xiaomi Redmi 15 6/128GB "/>
        <s v="Xiaomi Redmi 15C 6/128GB "/>
        <s v="HONOR X5c Plus 4/128GB "/>
        <s v="Infinix Smart 10 Plus 4/128GB"/>
        <s v="Oppo A6k 4/128GB "/>
        <s v="Xiaomi Redmi 15 8/256GB "/>
        <s v="Xiaomi Redmi A5 6/128GB "/>
        <s v="Xiaomi Redmi Note 15 5G 8/256GB "/>
        <s v="Xiaomi Redmi A5 6/128GB"/>
        <s v="Samsung Galaxy A07 4/64GB"/>
        <s v="Xiaomi Redmi Note 15 6/128GB "/>
        <s v="Infinix GT 30 8/256GB"/>
        <s v="Realme C85  8/256GB"/>
        <s v="Xiaomi Redmi Note 15 Pro Plus 5G  8/256GB "/>
        <s v="HONOR X7d 8/256GB "/>
        <s v="itel it5262"/>
        <s v="OPPO A6x 4/64GB "/>
        <s v="Xiaomi Redmi A7 Pro 4G 4/64G"/>
        <s v="Xiaomi Redmi Note 15 6/128GB"/>
        <s v="Redmi 15 6/128GB"/>
        <s v="Samsung Galaxy S26 Ultra 5g 12/256GB"/>
        <s v="Samsung Galaxy A07 6/128GB "/>
        <s v="Proton X20 Pro 8/128GB "/>
        <s v="Xaiomi Redmi Note 15 Pro 5g 8/256GB"/>
        <s v="HTC Wildfire E5 Elite 6/256GB "/>
        <s v="Itel A200 Plus 4/64GB"/>
        <s v="Redmi 15C 6/128GB"/>
        <s v="Xiaomi Redmi 15C 8/256GB "/>
        <s v="Xiaomi Redmi Turbo 4 Pro 5g 12/256GB"/>
        <s v="Samsung Galaxy A56 5G 8/256GB"/>
        <s v="realme C100i 4/64GB"/>
        <s v="realme C100i 4/128GB"/>
        <s v="Infinix Hot 70 6/128GB"/>
        <s v="Infinix Hot 70 4/128GB"/>
        <s v="Xtra X30"/>
        <s v="TECNO POVA Curve2 5G 8/128GB"/>
        <s v="TECNO Spark 50 5G 6/128GB"/>
        <s v="OPPO A6 8/256GB"/>
        <s v="Tecno Spark 50 6/128GB"/>
        <s v="Tecno Spark 50 4/128GB"/>
        <s v="TECNO POVA Curve 2 5G 8/256GB"/>
        <s v="Infinix Smart 20 4/128GB"/>
        <s v="HONOR X5c Plus 4/128GB"/>
        <s v="Nokia 130 (2023)"/>
        <s v="itel A100C 4/64GB"/>
        <s v="TECNO SPARK Go 3 4/128GB"/>
        <s v="TECNO SPARK Go 3 4/64GB"/>
        <s v="Nokia 130 Music"/>
        <s v="Nokia 108"/>
      </sharedItems>
    </cacheField>
    <cacheField name="Brand" numFmtId="0">
      <sharedItems count="15">
        <s v="realme"/>
        <s v="Vivo"/>
        <s v="HONOR"/>
        <s v="Xiaomi"/>
        <s v="OPPO"/>
        <s v="Proton"/>
        <s v="Infinix"/>
        <s v="Samsung"/>
        <s v="itel"/>
        <s v="Redmi"/>
        <s v="Xaiomi"/>
        <s v="HTC"/>
        <s v="Xtra"/>
        <s v="TECNO"/>
        <s v="Nokia"/>
      </sharedItems>
    </cacheField>
    <cacheField name="Storage (Ram/Rom)" numFmtId="0">
      <sharedItems count="14">
        <s v="4/128GB "/>
        <s v="4/64GB "/>
        <s v="6/128GB "/>
        <s v="6/256GB "/>
        <s v="6/128GB"/>
        <s v="8/128GB"/>
        <s v="4/128GB"/>
        <s v="8/256GB "/>
        <s v="4/64GB"/>
        <s v="8/256GB"/>
        <s v=""/>
        <s v="4/64G"/>
        <s v="2/256GB"/>
        <s v="8/128GB "/>
      </sharedItems>
    </cacheField>
    <cacheField name="Price" numFmtId="166">
      <sharedItems containsSemiMixedTypes="0" containsString="0" containsNumber="1" containsInteger="1" minValue="16750" maxValue="168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16750"/>
  </r>
  <r>
    <x v="1"/>
    <x v="0"/>
    <x v="1"/>
    <n v="16751"/>
  </r>
  <r>
    <x v="2"/>
    <x v="1"/>
    <x v="2"/>
    <n v="16752"/>
  </r>
  <r>
    <x v="3"/>
    <x v="2"/>
    <x v="3"/>
    <n v="16753"/>
  </r>
  <r>
    <x v="4"/>
    <x v="3"/>
    <x v="1"/>
    <n v="16754"/>
  </r>
  <r>
    <x v="5"/>
    <x v="0"/>
    <x v="2"/>
    <n v="16755"/>
  </r>
  <r>
    <x v="6"/>
    <x v="0"/>
    <x v="4"/>
    <n v="16756"/>
  </r>
  <r>
    <x v="7"/>
    <x v="4"/>
    <x v="1"/>
    <n v="16757"/>
  </r>
  <r>
    <x v="8"/>
    <x v="5"/>
    <x v="5"/>
    <n v="16758"/>
  </r>
  <r>
    <x v="9"/>
    <x v="0"/>
    <x v="0"/>
    <n v="16759"/>
  </r>
  <r>
    <x v="10"/>
    <x v="3"/>
    <x v="2"/>
    <n v="16760"/>
  </r>
  <r>
    <x v="11"/>
    <x v="3"/>
    <x v="2"/>
    <n v="16761"/>
  </r>
  <r>
    <x v="12"/>
    <x v="2"/>
    <x v="0"/>
    <n v="16762"/>
  </r>
  <r>
    <x v="13"/>
    <x v="6"/>
    <x v="6"/>
    <n v="16763"/>
  </r>
  <r>
    <x v="14"/>
    <x v="4"/>
    <x v="0"/>
    <n v="16764"/>
  </r>
  <r>
    <x v="15"/>
    <x v="3"/>
    <x v="7"/>
    <n v="16765"/>
  </r>
  <r>
    <x v="16"/>
    <x v="3"/>
    <x v="2"/>
    <n v="16766"/>
  </r>
  <r>
    <x v="17"/>
    <x v="3"/>
    <x v="7"/>
    <n v="16767"/>
  </r>
  <r>
    <x v="18"/>
    <x v="3"/>
    <x v="4"/>
    <n v="16768"/>
  </r>
  <r>
    <x v="19"/>
    <x v="7"/>
    <x v="8"/>
    <n v="16769"/>
  </r>
  <r>
    <x v="20"/>
    <x v="3"/>
    <x v="2"/>
    <n v="16770"/>
  </r>
  <r>
    <x v="21"/>
    <x v="6"/>
    <x v="9"/>
    <n v="16771"/>
  </r>
  <r>
    <x v="22"/>
    <x v="0"/>
    <x v="9"/>
    <n v="16772"/>
  </r>
  <r>
    <x v="23"/>
    <x v="3"/>
    <x v="7"/>
    <n v="16773"/>
  </r>
  <r>
    <x v="24"/>
    <x v="2"/>
    <x v="7"/>
    <n v="16774"/>
  </r>
  <r>
    <x v="25"/>
    <x v="8"/>
    <x v="10"/>
    <n v="16775"/>
  </r>
  <r>
    <x v="26"/>
    <x v="4"/>
    <x v="1"/>
    <n v="16776"/>
  </r>
  <r>
    <x v="27"/>
    <x v="3"/>
    <x v="11"/>
    <n v="16777"/>
  </r>
  <r>
    <x v="28"/>
    <x v="3"/>
    <x v="4"/>
    <n v="16778"/>
  </r>
  <r>
    <x v="29"/>
    <x v="9"/>
    <x v="4"/>
    <n v="16779"/>
  </r>
  <r>
    <x v="30"/>
    <x v="7"/>
    <x v="12"/>
    <n v="16780"/>
  </r>
  <r>
    <x v="31"/>
    <x v="7"/>
    <x v="2"/>
    <n v="16781"/>
  </r>
  <r>
    <x v="32"/>
    <x v="5"/>
    <x v="13"/>
    <n v="16782"/>
  </r>
  <r>
    <x v="33"/>
    <x v="10"/>
    <x v="9"/>
    <n v="16783"/>
  </r>
  <r>
    <x v="34"/>
    <x v="11"/>
    <x v="3"/>
    <n v="16784"/>
  </r>
  <r>
    <x v="35"/>
    <x v="8"/>
    <x v="8"/>
    <n v="16785"/>
  </r>
  <r>
    <x v="36"/>
    <x v="9"/>
    <x v="4"/>
    <n v="16786"/>
  </r>
  <r>
    <x v="37"/>
    <x v="3"/>
    <x v="7"/>
    <n v="16787"/>
  </r>
  <r>
    <x v="38"/>
    <x v="3"/>
    <x v="12"/>
    <n v="16788"/>
  </r>
  <r>
    <x v="39"/>
    <x v="7"/>
    <x v="9"/>
    <n v="16789"/>
  </r>
  <r>
    <x v="40"/>
    <x v="0"/>
    <x v="8"/>
    <n v="16790"/>
  </r>
  <r>
    <x v="41"/>
    <x v="0"/>
    <x v="6"/>
    <n v="16791"/>
  </r>
  <r>
    <x v="42"/>
    <x v="6"/>
    <x v="4"/>
    <n v="16792"/>
  </r>
  <r>
    <x v="43"/>
    <x v="6"/>
    <x v="6"/>
    <n v="16793"/>
  </r>
  <r>
    <x v="44"/>
    <x v="12"/>
    <x v="10"/>
    <n v="16794"/>
  </r>
  <r>
    <x v="45"/>
    <x v="13"/>
    <x v="5"/>
    <n v="16795"/>
  </r>
  <r>
    <x v="46"/>
    <x v="13"/>
    <x v="4"/>
    <n v="16796"/>
  </r>
  <r>
    <x v="47"/>
    <x v="4"/>
    <x v="9"/>
    <n v="16797"/>
  </r>
  <r>
    <x v="48"/>
    <x v="13"/>
    <x v="4"/>
    <n v="16798"/>
  </r>
  <r>
    <x v="49"/>
    <x v="13"/>
    <x v="6"/>
    <n v="16799"/>
  </r>
  <r>
    <x v="35"/>
    <x v="8"/>
    <x v="8"/>
    <n v="16800"/>
  </r>
  <r>
    <x v="50"/>
    <x v="13"/>
    <x v="9"/>
    <n v="16801"/>
  </r>
  <r>
    <x v="51"/>
    <x v="6"/>
    <x v="6"/>
    <n v="16802"/>
  </r>
  <r>
    <x v="52"/>
    <x v="2"/>
    <x v="6"/>
    <n v="16803"/>
  </r>
  <r>
    <x v="53"/>
    <x v="14"/>
    <x v="10"/>
    <n v="16804"/>
  </r>
  <r>
    <x v="54"/>
    <x v="8"/>
    <x v="8"/>
    <n v="16805"/>
  </r>
  <r>
    <x v="55"/>
    <x v="13"/>
    <x v="6"/>
    <n v="16806"/>
  </r>
  <r>
    <x v="56"/>
    <x v="13"/>
    <x v="8"/>
    <n v="16807"/>
  </r>
  <r>
    <x v="57"/>
    <x v="14"/>
    <x v="10"/>
    <n v="16808"/>
  </r>
  <r>
    <x v="58"/>
    <x v="14"/>
    <x v="10"/>
    <n v="168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64791-1E56-4D5D-AFBE-D241FE50D1C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20" firstHeaderRow="1" firstDataRow="1" firstDataCol="1"/>
  <pivotFields count="4">
    <pivotField showAll="0">
      <items count="60">
        <item x="52"/>
        <item x="12"/>
        <item x="3"/>
        <item x="24"/>
        <item x="34"/>
        <item x="21"/>
        <item x="43"/>
        <item x="42"/>
        <item x="13"/>
        <item x="51"/>
        <item x="54"/>
        <item x="35"/>
        <item x="25"/>
        <item x="58"/>
        <item x="53"/>
        <item x="57"/>
        <item x="47"/>
        <item x="7"/>
        <item x="14"/>
        <item x="26"/>
        <item x="8"/>
        <item x="32"/>
        <item x="41"/>
        <item x="0"/>
        <item x="40"/>
        <item x="1"/>
        <item x="5"/>
        <item x="22"/>
        <item x="6"/>
        <item x="9"/>
        <item x="29"/>
        <item x="36"/>
        <item x="19"/>
        <item x="31"/>
        <item x="39"/>
        <item x="30"/>
        <item x="50"/>
        <item x="45"/>
        <item x="49"/>
        <item x="46"/>
        <item x="48"/>
        <item x="55"/>
        <item x="56"/>
        <item x="2"/>
        <item x="33"/>
        <item x="10"/>
        <item x="15"/>
        <item x="11"/>
        <item x="37"/>
        <item x="18"/>
        <item x="16"/>
        <item x="4"/>
        <item x="27"/>
        <item x="17"/>
        <item x="28"/>
        <item x="20"/>
        <item x="23"/>
        <item x="38"/>
        <item x="44"/>
        <item t="default"/>
      </items>
    </pivotField>
    <pivotField axis="axisRow" showAll="0">
      <items count="16">
        <item x="2"/>
        <item x="11"/>
        <item x="6"/>
        <item x="8"/>
        <item x="14"/>
        <item x="4"/>
        <item x="5"/>
        <item x="0"/>
        <item x="9"/>
        <item x="7"/>
        <item x="13"/>
        <item x="1"/>
        <item x="10"/>
        <item x="3"/>
        <item x="12"/>
        <item t="default"/>
      </items>
    </pivotField>
    <pivotField showAll="0">
      <items count="15">
        <item x="10"/>
        <item x="12"/>
        <item x="6"/>
        <item x="0"/>
        <item x="11"/>
        <item x="8"/>
        <item x="1"/>
        <item x="4"/>
        <item x="2"/>
        <item x="3"/>
        <item x="5"/>
        <item x="13"/>
        <item x="9"/>
        <item x="7"/>
        <item t="default"/>
      </items>
    </pivotField>
    <pivotField dataField="1" numFmtId="166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Price" fld="3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76735-5B97-4EFB-8488-D93C92374E8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27" firstHeaderRow="1" firstDataRow="1" firstDataCol="1"/>
  <pivotFields count="4">
    <pivotField showAll="0">
      <items count="60">
        <item x="52"/>
        <item x="12"/>
        <item x="3"/>
        <item x="24"/>
        <item x="34"/>
        <item x="21"/>
        <item x="43"/>
        <item x="42"/>
        <item x="13"/>
        <item x="51"/>
        <item x="54"/>
        <item x="35"/>
        <item x="25"/>
        <item x="58"/>
        <item x="53"/>
        <item x="57"/>
        <item x="47"/>
        <item x="7"/>
        <item x="14"/>
        <item x="26"/>
        <item x="8"/>
        <item x="32"/>
        <item x="41"/>
        <item x="0"/>
        <item x="40"/>
        <item x="1"/>
        <item x="5"/>
        <item x="22"/>
        <item x="6"/>
        <item x="9"/>
        <item x="29"/>
        <item x="36"/>
        <item x="19"/>
        <item x="31"/>
        <item x="39"/>
        <item x="30"/>
        <item x="50"/>
        <item x="45"/>
        <item x="49"/>
        <item x="46"/>
        <item x="48"/>
        <item x="55"/>
        <item x="56"/>
        <item x="2"/>
        <item x="33"/>
        <item x="10"/>
        <item x="15"/>
        <item x="11"/>
        <item x="37"/>
        <item x="18"/>
        <item x="16"/>
        <item x="4"/>
        <item x="27"/>
        <item x="17"/>
        <item x="28"/>
        <item x="20"/>
        <item x="23"/>
        <item x="38"/>
        <item x="44"/>
        <item t="default"/>
      </items>
    </pivotField>
    <pivotField axis="axisRow" dataField="1" showAll="0" sortType="descending">
      <items count="16">
        <item x="2"/>
        <item x="11"/>
        <item x="6"/>
        <item x="8"/>
        <item x="14"/>
        <item x="4"/>
        <item x="5"/>
        <item x="0"/>
        <item x="9"/>
        <item x="7"/>
        <item x="13"/>
        <item x="1"/>
        <item x="10"/>
        <item x="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10"/>
        <item x="12"/>
        <item x="6"/>
        <item x="0"/>
        <item x="11"/>
        <item x="8"/>
        <item x="1"/>
        <item x="4"/>
        <item x="2"/>
        <item x="3"/>
        <item x="5"/>
        <item x="13"/>
        <item x="9"/>
        <item x="7"/>
        <item t="default"/>
      </items>
    </pivotField>
    <pivotField numFmtId="166" showAll="0"/>
  </pivotFields>
  <rowFields count="1">
    <field x="1"/>
  </rowFields>
  <rowItems count="16">
    <i>
      <x v="13"/>
    </i>
    <i>
      <x v="7"/>
    </i>
    <i>
      <x v="10"/>
    </i>
    <i>
      <x v="2"/>
    </i>
    <i>
      <x/>
    </i>
    <i>
      <x v="3"/>
    </i>
    <i>
      <x v="9"/>
    </i>
    <i>
      <x v="5"/>
    </i>
    <i>
      <x v="4"/>
    </i>
    <i>
      <x v="6"/>
    </i>
    <i>
      <x v="8"/>
    </i>
    <i>
      <x v="14"/>
    </i>
    <i>
      <x v="1"/>
    </i>
    <i>
      <x v="11"/>
    </i>
    <i>
      <x v="12"/>
    </i>
    <i t="grand">
      <x/>
    </i>
  </rowItems>
  <colItems count="1">
    <i/>
  </colItems>
  <dataFields count="1">
    <dataField name="Count of Bran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B4925-DCEC-4815-83EE-2C6ECBB9AB3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6" firstHeaderRow="1" firstDataRow="1" firstDataCol="1" rowPageCount="1" colPageCount="1"/>
  <pivotFields count="4">
    <pivotField showAll="0"/>
    <pivotField axis="axisRow" showAll="0">
      <items count="16">
        <item x="2"/>
        <item x="11"/>
        <item x="6"/>
        <item x="8"/>
        <item x="14"/>
        <item x="4"/>
        <item x="5"/>
        <item x="0"/>
        <item x="9"/>
        <item x="7"/>
        <item x="13"/>
        <item x="1"/>
        <item x="10"/>
        <item x="3"/>
        <item x="12"/>
        <item t="default"/>
      </items>
    </pivotField>
    <pivotField axis="axisPage" showAll="0">
      <items count="15">
        <item x="10"/>
        <item x="12"/>
        <item x="6"/>
        <item x="0"/>
        <item x="11"/>
        <item x="8"/>
        <item x="1"/>
        <item x="4"/>
        <item x="2"/>
        <item x="3"/>
        <item x="5"/>
        <item x="13"/>
        <item x="9"/>
        <item x="7"/>
        <item t="default"/>
      </items>
    </pivotField>
    <pivotField dataField="1" numFmtId="166" showAll="0"/>
  </pivotFields>
  <rowFields count="1">
    <field x="1"/>
  </rowFields>
  <rowItems count="3">
    <i>
      <x v="6"/>
    </i>
    <i>
      <x v="10"/>
    </i>
    <i t="grand">
      <x/>
    </i>
  </rowItems>
  <colItems count="1">
    <i/>
  </colItems>
  <pageFields count="1">
    <pageField fld="2" item="10" hier="-1"/>
  </pageFields>
  <dataFields count="1">
    <dataField name="Sum of Price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7F804-F993-4F0B-8C6D-BDDF5A05E164}" name="Table1" displayName="Table1" ref="A1:D61" totalsRowShown="0" headerRowDxfId="0">
  <autoFilter ref="A1:D61" xr:uid="{0477F804-F993-4F0B-8C6D-BDDF5A05E164}"/>
  <tableColumns count="4">
    <tableColumn id="1" xr3:uid="{0695611A-32DA-4288-8868-54DB8B05FD21}" name="Priduct Name and Model"/>
    <tableColumn id="2" xr3:uid="{274741BA-A490-4DF3-877D-4D6D22879E89}" name="Brand">
      <calculatedColumnFormula>IFERROR(LEFT(A2,FIND(" ",A2)-1),A2)</calculatedColumnFormula>
    </tableColumn>
    <tableColumn id="3" xr3:uid="{51FAA92B-30F8-4371-8026-558D758DC98C}" name="Storage (Ram/Rom)">
      <calculatedColumnFormula array="1">_xlfn.TEXTJOIN("",TRUE,IFERROR(MID(A2,SEARCH({"0/","1/","2/","3/","4/","5/","6/","7/","8/","9/"},A2),15),""))</calculatedColumnFormula>
    </tableColumn>
    <tableColumn id="4" xr3:uid="{347D8096-B414-46AE-8117-55F0842A9070}" name="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0B1E-6654-4DFB-A39F-9EB734D6143D}">
  <dimension ref="A1:J61"/>
  <sheetViews>
    <sheetView tabSelected="1" topLeftCell="E1" workbookViewId="0">
      <selection activeCell="I4" sqref="I4"/>
    </sheetView>
  </sheetViews>
  <sheetFormatPr defaultRowHeight="15" x14ac:dyDescent="0.25"/>
  <cols>
    <col min="1" max="1" width="49.7109375" customWidth="1"/>
    <col min="2" max="3" width="25.140625" customWidth="1"/>
    <col min="4" max="4" width="25.140625" style="6" customWidth="1"/>
    <col min="5" max="5" width="25.140625" customWidth="1"/>
    <col min="6" max="6" width="13.140625" bestFit="1" customWidth="1"/>
    <col min="7" max="7" width="14.28515625" bestFit="1" customWidth="1"/>
    <col min="8" max="8" width="10.42578125" bestFit="1" customWidth="1"/>
    <col min="9" max="9" width="13.140625" bestFit="1" customWidth="1"/>
    <col min="10" max="10" width="15.5703125" bestFit="1" customWidth="1"/>
    <col min="11" max="11" width="10.42578125" bestFit="1" customWidth="1"/>
    <col min="12" max="12" width="12" bestFit="1" customWidth="1"/>
    <col min="13" max="13" width="10.42578125" bestFit="1" customWidth="1"/>
    <col min="14" max="15" width="12" bestFit="1" customWidth="1"/>
    <col min="16" max="18" width="10.42578125" bestFit="1" customWidth="1"/>
    <col min="19" max="19" width="12" bestFit="1" customWidth="1"/>
    <col min="20" max="20" width="10.42578125" bestFit="1" customWidth="1"/>
    <col min="21" max="21" width="13.140625" bestFit="1" customWidth="1"/>
  </cols>
  <sheetData>
    <row r="1" spans="1:10" x14ac:dyDescent="0.25">
      <c r="A1" s="1" t="s">
        <v>15</v>
      </c>
      <c r="B1" s="1" t="s">
        <v>4</v>
      </c>
      <c r="C1" s="1" t="s">
        <v>5</v>
      </c>
      <c r="D1" s="5" t="s">
        <v>6</v>
      </c>
      <c r="F1" s="7" t="s">
        <v>5</v>
      </c>
      <c r="G1" t="s">
        <v>81</v>
      </c>
    </row>
    <row r="2" spans="1:10" x14ac:dyDescent="0.25">
      <c r="A2" t="s">
        <v>12</v>
      </c>
      <c r="B2" t="str">
        <f>IFERROR(LEFT(A2,FIND(" ",A2)-1),A2)</f>
        <v>realme</v>
      </c>
      <c r="C2" t="str" cm="1">
        <f t="array" ref="C2">_xlfn.TEXTJOIN("",TRUE,IFERROR(MID(A2,SEARCH({"0/","1/","2/","3/","4/","5/","6/","7/","8/","9/"},A2),15),""))</f>
        <v xml:space="preserve">4/128GB </v>
      </c>
      <c r="D2" s="6">
        <v>16750</v>
      </c>
      <c r="E2" t="s">
        <v>83</v>
      </c>
      <c r="I2" t="s">
        <v>86</v>
      </c>
    </row>
    <row r="3" spans="1:10" x14ac:dyDescent="0.25">
      <c r="A3" t="s">
        <v>13</v>
      </c>
      <c r="B3" t="str">
        <f t="shared" ref="B3:B61" si="0">IFERROR(LEFT(A3,FIND(" ",A3)-1),A3)</f>
        <v>realme</v>
      </c>
      <c r="C3" t="str" cm="1">
        <f t="array" ref="C3">_xlfn.TEXTJOIN("",TRUE,IFERROR(MID(A3,SEARCH({"0/","1/","2/","3/","4/","5/","6/","7/","8/","9/"},A3),15),""))</f>
        <v xml:space="preserve">4/64GB </v>
      </c>
      <c r="D3" s="6">
        <v>16751</v>
      </c>
      <c r="F3" s="7" t="s">
        <v>64</v>
      </c>
      <c r="G3" t="s">
        <v>82</v>
      </c>
    </row>
    <row r="4" spans="1:10" x14ac:dyDescent="0.25">
      <c r="A4" t="s">
        <v>7</v>
      </c>
      <c r="B4" t="str">
        <f t="shared" si="0"/>
        <v>Vivo</v>
      </c>
      <c r="C4" t="str" cm="1">
        <f t="array" ref="C4">_xlfn.TEXTJOIN("",TRUE,IFERROR(MID(A4,SEARCH({"0/","1/","2/","3/","4/","5/","6/","7/","8/","9/"},A4),15),""))</f>
        <v xml:space="preserve">6/128GB </v>
      </c>
      <c r="D4" s="6">
        <v>16752</v>
      </c>
      <c r="F4" s="2" t="s">
        <v>71</v>
      </c>
      <c r="G4" s="4">
        <v>16758</v>
      </c>
      <c r="I4" s="7" t="s">
        <v>64</v>
      </c>
      <c r="J4" t="s">
        <v>87</v>
      </c>
    </row>
    <row r="5" spans="1:10" x14ac:dyDescent="0.25">
      <c r="A5" t="s">
        <v>21</v>
      </c>
      <c r="B5" t="str">
        <f t="shared" si="0"/>
        <v>HONOR</v>
      </c>
      <c r="C5" t="str" cm="1">
        <f t="array" ref="C5">_xlfn.TEXTJOIN("",TRUE,IFERROR(MID(A5,SEARCH({"0/","1/","2/","3/","4/","5/","6/","7/","8/","9/"},A5),15),""))</f>
        <v xml:space="preserve">6/256GB </v>
      </c>
      <c r="D5" s="6">
        <v>16753</v>
      </c>
      <c r="F5" s="2" t="s">
        <v>75</v>
      </c>
      <c r="G5" s="4">
        <v>16795</v>
      </c>
      <c r="I5" s="2" t="s">
        <v>65</v>
      </c>
      <c r="J5" s="4">
        <v>16773</v>
      </c>
    </row>
    <row r="6" spans="1:10" x14ac:dyDescent="0.25">
      <c r="A6" t="s">
        <v>22</v>
      </c>
      <c r="B6" t="str">
        <f t="shared" si="0"/>
        <v>Xiaomi</v>
      </c>
      <c r="C6" t="str" cm="1">
        <f t="array" ref="C6">_xlfn.TEXTJOIN("",TRUE,IFERROR(MID(A6,SEARCH({"0/","1/","2/","3/","4/","5/","6/","7/","8/","9/"},A6),15),""))</f>
        <v xml:space="preserve">4/64GB </v>
      </c>
      <c r="D6" s="6">
        <v>16754</v>
      </c>
      <c r="F6" s="2" t="s">
        <v>80</v>
      </c>
      <c r="G6" s="4">
        <v>33553</v>
      </c>
      <c r="I6" s="2" t="s">
        <v>66</v>
      </c>
      <c r="J6" s="4">
        <v>16784</v>
      </c>
    </row>
    <row r="7" spans="1:10" x14ac:dyDescent="0.25">
      <c r="A7" t="s">
        <v>23</v>
      </c>
      <c r="B7" t="str">
        <f t="shared" si="0"/>
        <v>realme</v>
      </c>
      <c r="C7" t="str" cm="1">
        <f t="array" ref="C7">_xlfn.TEXTJOIN("",TRUE,IFERROR(MID(A7,SEARCH({"0/","1/","2/","3/","4/","5/","6/","7/","8/","9/"},A7),15),""))</f>
        <v xml:space="preserve">6/128GB </v>
      </c>
      <c r="D7" s="6">
        <v>16755</v>
      </c>
      <c r="I7" s="2" t="s">
        <v>67</v>
      </c>
      <c r="J7" s="4">
        <v>16784.2</v>
      </c>
    </row>
    <row r="8" spans="1:10" x14ac:dyDescent="0.25">
      <c r="A8" t="s">
        <v>60</v>
      </c>
      <c r="B8" t="str">
        <f t="shared" si="0"/>
        <v>Realme</v>
      </c>
      <c r="C8" t="str" cm="1">
        <f t="array" ref="C8">_xlfn.TEXTJOIN("",TRUE,IFERROR(MID(A8,SEARCH({"0/","1/","2/","3/","4/","5/","6/","7/","8/","9/"},A8),15),""))</f>
        <v>6/128GB</v>
      </c>
      <c r="D8" s="6">
        <v>16756</v>
      </c>
      <c r="F8" s="2" t="s">
        <v>84</v>
      </c>
      <c r="I8" s="2" t="s">
        <v>68</v>
      </c>
      <c r="J8" s="4">
        <v>16791.25</v>
      </c>
    </row>
    <row r="9" spans="1:10" x14ac:dyDescent="0.25">
      <c r="A9" t="s">
        <v>20</v>
      </c>
      <c r="B9" t="str">
        <f t="shared" si="0"/>
        <v>OPPO</v>
      </c>
      <c r="C9" t="str" cm="1">
        <f t="array" ref="C9">_xlfn.TEXTJOIN("",TRUE,IFERROR(MID(A9,SEARCH({"0/","1/","2/","3/","4/","5/","6/","7/","8/","9/"},A9),15),""))</f>
        <v xml:space="preserve">4/64GB </v>
      </c>
      <c r="D9" s="6">
        <v>16757</v>
      </c>
      <c r="I9" s="2" t="s">
        <v>69</v>
      </c>
      <c r="J9" s="4">
        <v>16807</v>
      </c>
    </row>
    <row r="10" spans="1:10" x14ac:dyDescent="0.25">
      <c r="A10" t="s">
        <v>16</v>
      </c>
      <c r="B10" t="str">
        <f t="shared" si="0"/>
        <v>Proton</v>
      </c>
      <c r="C10" t="str" cm="1">
        <f t="array" ref="C10">_xlfn.TEXTJOIN("",TRUE,IFERROR(MID(A10,SEARCH({"0/","1/","2/","3/","4/","5/","6/","7/","8/","9/"},A10),15),""))</f>
        <v>8/128GB</v>
      </c>
      <c r="D10" s="6">
        <v>16758</v>
      </c>
      <c r="I10" s="2" t="s">
        <v>70</v>
      </c>
      <c r="J10" s="4">
        <v>16773.5</v>
      </c>
    </row>
    <row r="11" spans="1:10" x14ac:dyDescent="0.25">
      <c r="A11" t="s">
        <v>8</v>
      </c>
      <c r="B11" t="str">
        <f t="shared" si="0"/>
        <v>Realme</v>
      </c>
      <c r="C11" t="str" cm="1">
        <f t="array" ref="C11">_xlfn.TEXTJOIN("",TRUE,IFERROR(MID(A11,SEARCH({"0/","1/","2/","3/","4/","5/","6/","7/","8/","9/"},A11),15),""))</f>
        <v xml:space="preserve">4/128GB </v>
      </c>
      <c r="D11" s="6">
        <v>16759</v>
      </c>
      <c r="F11" s="7" t="s">
        <v>64</v>
      </c>
      <c r="G11" t="s">
        <v>85</v>
      </c>
      <c r="I11" s="2" t="s">
        <v>71</v>
      </c>
      <c r="J11" s="4">
        <v>16770</v>
      </c>
    </row>
    <row r="12" spans="1:10" x14ac:dyDescent="0.25">
      <c r="A12" t="s">
        <v>24</v>
      </c>
      <c r="B12" t="str">
        <f t="shared" si="0"/>
        <v>Xiaomi</v>
      </c>
      <c r="C12" t="str" cm="1">
        <f t="array" ref="C12">_xlfn.TEXTJOIN("",TRUE,IFERROR(MID(A12,SEARCH({"0/","1/","2/","3/","4/","5/","6/","7/","8/","9/"},A12),15),""))</f>
        <v xml:space="preserve">6/128GB </v>
      </c>
      <c r="D12" s="6">
        <v>16760</v>
      </c>
      <c r="F12" s="2" t="s">
        <v>78</v>
      </c>
      <c r="G12" s="3">
        <v>13</v>
      </c>
      <c r="I12" s="2" t="s">
        <v>72</v>
      </c>
      <c r="J12" s="4">
        <v>16765.5</v>
      </c>
    </row>
    <row r="13" spans="1:10" x14ac:dyDescent="0.25">
      <c r="A13" t="s">
        <v>25</v>
      </c>
      <c r="B13" t="str">
        <f t="shared" si="0"/>
        <v>Xiaomi</v>
      </c>
      <c r="C13" t="str" cm="1">
        <f t="array" ref="C13">_xlfn.TEXTJOIN("",TRUE,IFERROR(MID(A13,SEARCH({"0/","1/","2/","3/","4/","5/","6/","7/","8/","9/"},A13),15),""))</f>
        <v xml:space="preserve">6/128GB </v>
      </c>
      <c r="D13" s="6">
        <v>16761</v>
      </c>
      <c r="F13" s="2" t="s">
        <v>72</v>
      </c>
      <c r="G13" s="3">
        <v>8</v>
      </c>
      <c r="I13" s="2" t="s">
        <v>73</v>
      </c>
      <c r="J13" s="4">
        <v>16782.5</v>
      </c>
    </row>
    <row r="14" spans="1:10" x14ac:dyDescent="0.25">
      <c r="A14" t="s">
        <v>26</v>
      </c>
      <c r="B14" t="str">
        <f t="shared" si="0"/>
        <v>HONOR</v>
      </c>
      <c r="C14" t="str" cm="1">
        <f t="array" ref="C14">_xlfn.TEXTJOIN("",TRUE,IFERROR(MID(A14,SEARCH({"0/","1/","2/","3/","4/","5/","6/","7/","8/","9/"},A14),15),""))</f>
        <v xml:space="preserve">4/128GB </v>
      </c>
      <c r="D14" s="6">
        <v>16762</v>
      </c>
      <c r="F14" s="2" t="s">
        <v>75</v>
      </c>
      <c r="G14" s="3">
        <v>7</v>
      </c>
      <c r="I14" s="2" t="s">
        <v>74</v>
      </c>
      <c r="J14" s="4">
        <v>16779.75</v>
      </c>
    </row>
    <row r="15" spans="1:10" x14ac:dyDescent="0.25">
      <c r="A15" t="s">
        <v>59</v>
      </c>
      <c r="B15" t="str">
        <f t="shared" si="0"/>
        <v>Infinix</v>
      </c>
      <c r="C15" t="str" cm="1">
        <f t="array" ref="C15">_xlfn.TEXTJOIN("",TRUE,IFERROR(MID(A15,SEARCH({"0/","1/","2/","3/","4/","5/","6/","7/","8/","9/"},A15),15),""))</f>
        <v>4/128GB</v>
      </c>
      <c r="D15" s="6">
        <v>16763</v>
      </c>
      <c r="F15" s="2" t="s">
        <v>67</v>
      </c>
      <c r="G15" s="3">
        <v>5</v>
      </c>
      <c r="I15" s="2" t="s">
        <v>75</v>
      </c>
      <c r="J15" s="4">
        <v>16800.285714285714</v>
      </c>
    </row>
    <row r="16" spans="1:10" x14ac:dyDescent="0.25">
      <c r="A16" t="s">
        <v>27</v>
      </c>
      <c r="B16" t="str">
        <f t="shared" si="0"/>
        <v>Oppo</v>
      </c>
      <c r="C16" t="str" cm="1">
        <f t="array" ref="C16">_xlfn.TEXTJOIN("",TRUE,IFERROR(MID(A16,SEARCH({"0/","1/","2/","3/","4/","5/","6/","7/","8/","9/"},A16),15),""))</f>
        <v xml:space="preserve">4/128GB </v>
      </c>
      <c r="D16" s="6">
        <v>16764</v>
      </c>
      <c r="F16" s="2" t="s">
        <v>65</v>
      </c>
      <c r="G16" s="3">
        <v>4</v>
      </c>
      <c r="I16" s="2" t="s">
        <v>76</v>
      </c>
      <c r="J16" s="4">
        <v>16752</v>
      </c>
    </row>
    <row r="17" spans="1:10" x14ac:dyDescent="0.25">
      <c r="A17" t="s">
        <v>28</v>
      </c>
      <c r="B17" t="str">
        <f t="shared" si="0"/>
        <v>Xiaomi</v>
      </c>
      <c r="C17" t="str" cm="1">
        <f t="array" ref="C17">_xlfn.TEXTJOIN("",TRUE,IFERROR(MID(A17,SEARCH({"0/","1/","2/","3/","4/","5/","6/","7/","8/","9/"},A17),15),""))</f>
        <v xml:space="preserve">8/256GB </v>
      </c>
      <c r="D17" s="6">
        <v>16765</v>
      </c>
      <c r="F17" s="2" t="s">
        <v>68</v>
      </c>
      <c r="G17" s="3">
        <v>4</v>
      </c>
      <c r="I17" s="2" t="s">
        <v>77</v>
      </c>
      <c r="J17" s="4">
        <v>16783</v>
      </c>
    </row>
    <row r="18" spans="1:10" x14ac:dyDescent="0.25">
      <c r="A18" t="s">
        <v>29</v>
      </c>
      <c r="B18" t="str">
        <f t="shared" si="0"/>
        <v>Xiaomi</v>
      </c>
      <c r="C18" t="str" cm="1">
        <f t="array" ref="C18">_xlfn.TEXTJOIN("",TRUE,IFERROR(MID(A18,SEARCH({"0/","1/","2/","3/","4/","5/","6/","7/","8/","9/"},A18),15),""))</f>
        <v xml:space="preserve">6/128GB </v>
      </c>
      <c r="D18" s="6">
        <v>16766</v>
      </c>
      <c r="F18" s="2" t="s">
        <v>74</v>
      </c>
      <c r="G18" s="3">
        <v>4</v>
      </c>
      <c r="I18" s="2" t="s">
        <v>78</v>
      </c>
      <c r="J18" s="4">
        <v>16770.307692307691</v>
      </c>
    </row>
    <row r="19" spans="1:10" x14ac:dyDescent="0.25">
      <c r="A19" t="s">
        <v>30</v>
      </c>
      <c r="B19" t="str">
        <f t="shared" si="0"/>
        <v>Xiaomi</v>
      </c>
      <c r="C19" t="str" cm="1">
        <f t="array" ref="C19">_xlfn.TEXTJOIN("",TRUE,IFERROR(MID(A19,SEARCH({"0/","1/","2/","3/","4/","5/","6/","7/","8/","9/"},A19),15),""))</f>
        <v xml:space="preserve">8/256GB </v>
      </c>
      <c r="D19" s="6">
        <v>16767</v>
      </c>
      <c r="F19" s="2" t="s">
        <v>70</v>
      </c>
      <c r="G19" s="3">
        <v>4</v>
      </c>
      <c r="I19" s="2" t="s">
        <v>79</v>
      </c>
      <c r="J19" s="4">
        <v>16794</v>
      </c>
    </row>
    <row r="20" spans="1:10" x14ac:dyDescent="0.25">
      <c r="A20" t="s">
        <v>31</v>
      </c>
      <c r="B20" t="str">
        <f t="shared" si="0"/>
        <v>Xiaomi</v>
      </c>
      <c r="C20" t="str" cm="1">
        <f t="array" ref="C20">_xlfn.TEXTJOIN("",TRUE,IFERROR(MID(A20,SEARCH({"0/","1/","2/","3/","4/","5/","6/","7/","8/","9/"},A20),15),""))</f>
        <v>6/128GB</v>
      </c>
      <c r="D20" s="6">
        <v>16768</v>
      </c>
      <c r="F20" s="2" t="s">
        <v>69</v>
      </c>
      <c r="G20" s="3">
        <v>3</v>
      </c>
      <c r="I20" s="2" t="s">
        <v>80</v>
      </c>
      <c r="J20" s="4">
        <v>16779.5</v>
      </c>
    </row>
    <row r="21" spans="1:10" x14ac:dyDescent="0.25">
      <c r="A21" t="s">
        <v>9</v>
      </c>
      <c r="B21" t="str">
        <f t="shared" si="0"/>
        <v>Samsung</v>
      </c>
      <c r="C21" t="str" cm="1">
        <f t="array" ref="C21">_xlfn.TEXTJOIN("",TRUE,IFERROR(MID(A21,SEARCH({"0/","1/","2/","3/","4/","5/","6/","7/","8/","9/"},A21),15),""))</f>
        <v>4/64GB</v>
      </c>
      <c r="D21" s="6">
        <v>16769</v>
      </c>
      <c r="F21" s="2" t="s">
        <v>71</v>
      </c>
      <c r="G21" s="3">
        <v>2</v>
      </c>
    </row>
    <row r="22" spans="1:10" x14ac:dyDescent="0.25">
      <c r="A22" t="s">
        <v>32</v>
      </c>
      <c r="B22" t="str">
        <f t="shared" si="0"/>
        <v>Xiaomi</v>
      </c>
      <c r="C22" t="str" cm="1">
        <f t="array" ref="C22">_xlfn.TEXTJOIN("",TRUE,IFERROR(MID(A22,SEARCH({"0/","1/","2/","3/","4/","5/","6/","7/","8/","9/"},A22),15),""))</f>
        <v xml:space="preserve">6/128GB </v>
      </c>
      <c r="D22" s="6">
        <v>16770</v>
      </c>
      <c r="F22" s="2" t="s">
        <v>73</v>
      </c>
      <c r="G22" s="3">
        <v>2</v>
      </c>
    </row>
    <row r="23" spans="1:10" x14ac:dyDescent="0.25">
      <c r="A23" t="s">
        <v>61</v>
      </c>
      <c r="B23" t="str">
        <f t="shared" si="0"/>
        <v>Infinix</v>
      </c>
      <c r="C23" t="str" cm="1">
        <f t="array" ref="C23">_xlfn.TEXTJOIN("",TRUE,IFERROR(MID(A23,SEARCH({"0/","1/","2/","3/","4/","5/","6/","7/","8/","9/"},A23),15),""))</f>
        <v>8/256GB</v>
      </c>
      <c r="D23" s="6">
        <v>16771</v>
      </c>
      <c r="F23" s="2" t="s">
        <v>79</v>
      </c>
      <c r="G23" s="3">
        <v>1</v>
      </c>
    </row>
    <row r="24" spans="1:10" x14ac:dyDescent="0.25">
      <c r="A24" t="s">
        <v>62</v>
      </c>
      <c r="B24" t="str">
        <f t="shared" si="0"/>
        <v>Realme</v>
      </c>
      <c r="C24" t="str" cm="1">
        <f t="array" ref="C24">_xlfn.TEXTJOIN("",TRUE,IFERROR(MID(A24,SEARCH({"0/","1/","2/","3/","4/","5/","6/","7/","8/","9/"},A24),15),""))</f>
        <v>8/256GB</v>
      </c>
      <c r="D24" s="6">
        <v>16772</v>
      </c>
      <c r="F24" s="2" t="s">
        <v>66</v>
      </c>
      <c r="G24" s="3">
        <v>1</v>
      </c>
    </row>
    <row r="25" spans="1:10" x14ac:dyDescent="0.25">
      <c r="A25" t="s">
        <v>33</v>
      </c>
      <c r="B25" t="str">
        <f t="shared" si="0"/>
        <v>Xiaomi</v>
      </c>
      <c r="C25" t="str" cm="1">
        <f t="array" ref="C25">_xlfn.TEXTJOIN("",TRUE,IFERROR(MID(A25,SEARCH({"0/","1/","2/","3/","4/","5/","6/","7/","8/","9/"},A25),15),""))</f>
        <v xml:space="preserve">8/256GB </v>
      </c>
      <c r="D25" s="6">
        <v>16773</v>
      </c>
      <c r="F25" s="2" t="s">
        <v>76</v>
      </c>
      <c r="G25" s="3">
        <v>1</v>
      </c>
    </row>
    <row r="26" spans="1:10" x14ac:dyDescent="0.25">
      <c r="A26" t="s">
        <v>10</v>
      </c>
      <c r="B26" t="str">
        <f t="shared" si="0"/>
        <v>HONOR</v>
      </c>
      <c r="C26" t="str" cm="1">
        <f t="array" ref="C26">_xlfn.TEXTJOIN("",TRUE,IFERROR(MID(A26,SEARCH({"0/","1/","2/","3/","4/","5/","6/","7/","8/","9/"},A26),15),""))</f>
        <v xml:space="preserve">8/256GB </v>
      </c>
      <c r="D26" s="6">
        <v>16774</v>
      </c>
      <c r="F26" s="2" t="s">
        <v>77</v>
      </c>
      <c r="G26" s="3">
        <v>1</v>
      </c>
    </row>
    <row r="27" spans="1:10" x14ac:dyDescent="0.25">
      <c r="A27" t="s">
        <v>14</v>
      </c>
      <c r="B27" t="str">
        <f t="shared" si="0"/>
        <v>itel</v>
      </c>
      <c r="C27" t="str" cm="1">
        <f t="array" ref="C27">_xlfn.TEXTJOIN("",TRUE,IFERROR(MID(A27,SEARCH({"0/","1/","2/","3/","4/","5/","6/","7/","8/","9/"},A27),15),""))</f>
        <v/>
      </c>
      <c r="D27" s="6">
        <v>16775</v>
      </c>
      <c r="F27" s="2" t="s">
        <v>80</v>
      </c>
      <c r="G27" s="3">
        <v>60</v>
      </c>
    </row>
    <row r="28" spans="1:10" x14ac:dyDescent="0.25">
      <c r="A28" t="s">
        <v>34</v>
      </c>
      <c r="B28" t="str">
        <f t="shared" si="0"/>
        <v>OPPO</v>
      </c>
      <c r="C28" t="str" cm="1">
        <f t="array" ref="C28">_xlfn.TEXTJOIN("",TRUE,IFERROR(MID(A28,SEARCH({"0/","1/","2/","3/","4/","5/","6/","7/","8/","9/"},A28),15),""))</f>
        <v xml:space="preserve">4/64GB </v>
      </c>
      <c r="D28" s="6">
        <v>16776</v>
      </c>
    </row>
    <row r="29" spans="1:10" x14ac:dyDescent="0.25">
      <c r="A29" t="s">
        <v>17</v>
      </c>
      <c r="B29" t="str">
        <f t="shared" si="0"/>
        <v>Xiaomi</v>
      </c>
      <c r="C29" t="str" cm="1">
        <f t="array" ref="C29">_xlfn.TEXTJOIN("",TRUE,IFERROR(MID(A29,SEARCH({"0/","1/","2/","3/","4/","5/","6/","7/","8/","9/"},A29),15),""))</f>
        <v>4/64G</v>
      </c>
      <c r="D29" s="6">
        <v>16777</v>
      </c>
    </row>
    <row r="30" spans="1:10" x14ac:dyDescent="0.25">
      <c r="A30" t="s">
        <v>18</v>
      </c>
      <c r="B30" t="str">
        <f t="shared" si="0"/>
        <v>Xiaomi</v>
      </c>
      <c r="C30" t="str" cm="1">
        <f t="array" ref="C30">_xlfn.TEXTJOIN("",TRUE,IFERROR(MID(A30,SEARCH({"0/","1/","2/","3/","4/","5/","6/","7/","8/","9/"},A30),15),""))</f>
        <v>6/128GB</v>
      </c>
      <c r="D30" s="6">
        <v>16778</v>
      </c>
    </row>
    <row r="31" spans="1:10" x14ac:dyDescent="0.25">
      <c r="A31" t="s">
        <v>35</v>
      </c>
      <c r="B31" t="str">
        <f t="shared" si="0"/>
        <v>Redmi</v>
      </c>
      <c r="C31" t="str" cm="1">
        <f t="array" ref="C31">_xlfn.TEXTJOIN("",TRUE,IFERROR(MID(A31,SEARCH({"0/","1/","2/","3/","4/","5/","6/","7/","8/","9/"},A31),15),""))</f>
        <v>6/128GB</v>
      </c>
      <c r="D31" s="6">
        <v>16779</v>
      </c>
    </row>
    <row r="32" spans="1:10" x14ac:dyDescent="0.25">
      <c r="A32" t="s">
        <v>19</v>
      </c>
      <c r="B32" t="str">
        <f t="shared" si="0"/>
        <v>Samsung</v>
      </c>
      <c r="C32" t="str" cm="1">
        <f t="array" ref="C32">_xlfn.TEXTJOIN("",TRUE,IFERROR(MID(A32,SEARCH({"0/","1/","2/","3/","4/","5/","6/","7/","8/","9/"},A32),15),""))</f>
        <v>2/256GB</v>
      </c>
      <c r="D32" s="6">
        <v>16780</v>
      </c>
    </row>
    <row r="33" spans="1:4" x14ac:dyDescent="0.25">
      <c r="A33" t="s">
        <v>11</v>
      </c>
      <c r="B33" t="str">
        <f t="shared" si="0"/>
        <v>Samsung</v>
      </c>
      <c r="C33" t="str" cm="1">
        <f t="array" ref="C33">_xlfn.TEXTJOIN("",TRUE,IFERROR(MID(A33,SEARCH({"0/","1/","2/","3/","4/","5/","6/","7/","8/","9/"},A33),15),""))</f>
        <v xml:space="preserve">6/128GB </v>
      </c>
      <c r="D33" s="6">
        <v>16781</v>
      </c>
    </row>
    <row r="34" spans="1:4" x14ac:dyDescent="0.25">
      <c r="A34" t="s">
        <v>36</v>
      </c>
      <c r="B34" t="str">
        <f t="shared" si="0"/>
        <v>Proton</v>
      </c>
      <c r="C34" t="str" cm="1">
        <f t="array" ref="C34">_xlfn.TEXTJOIN("",TRUE,IFERROR(MID(A34,SEARCH({"0/","1/","2/","3/","4/","5/","6/","7/","8/","9/"},A34),15),""))</f>
        <v xml:space="preserve">8/128GB </v>
      </c>
      <c r="D34" s="6">
        <v>16782</v>
      </c>
    </row>
    <row r="35" spans="1:4" x14ac:dyDescent="0.25">
      <c r="A35" t="s">
        <v>37</v>
      </c>
      <c r="B35" t="str">
        <f t="shared" si="0"/>
        <v>Xaiomi</v>
      </c>
      <c r="C35" t="str" cm="1">
        <f t="array" ref="C35">_xlfn.TEXTJOIN("",TRUE,IFERROR(MID(A35,SEARCH({"0/","1/","2/","3/","4/","5/","6/","7/","8/","9/"},A35),15),""))</f>
        <v>8/256GB</v>
      </c>
      <c r="D35" s="6">
        <v>16783</v>
      </c>
    </row>
    <row r="36" spans="1:4" x14ac:dyDescent="0.25">
      <c r="A36" t="s">
        <v>38</v>
      </c>
      <c r="B36" t="str">
        <f t="shared" si="0"/>
        <v>HTC</v>
      </c>
      <c r="C36" t="str" cm="1">
        <f t="array" ref="C36">_xlfn.TEXTJOIN("",TRUE,IFERROR(MID(A36,SEARCH({"0/","1/","2/","3/","4/","5/","6/","7/","8/","9/"},A36),15),""))</f>
        <v xml:space="preserve">6/256GB </v>
      </c>
      <c r="D36" s="6">
        <v>16784</v>
      </c>
    </row>
    <row r="37" spans="1:4" x14ac:dyDescent="0.25">
      <c r="A37" t="s">
        <v>39</v>
      </c>
      <c r="B37" t="str">
        <f t="shared" si="0"/>
        <v>Itel</v>
      </c>
      <c r="C37" t="str" cm="1">
        <f t="array" ref="C37">_xlfn.TEXTJOIN("",TRUE,IFERROR(MID(A37,SEARCH({"0/","1/","2/","3/","4/","5/","6/","7/","8/","9/"},A37),15),""))</f>
        <v>4/64GB</v>
      </c>
      <c r="D37" s="6">
        <v>16785</v>
      </c>
    </row>
    <row r="38" spans="1:4" x14ac:dyDescent="0.25">
      <c r="A38" t="s">
        <v>40</v>
      </c>
      <c r="B38" t="str">
        <f t="shared" si="0"/>
        <v>Redmi</v>
      </c>
      <c r="C38" t="str" cm="1">
        <f t="array" ref="C38">_xlfn.TEXTJOIN("",TRUE,IFERROR(MID(A38,SEARCH({"0/","1/","2/","3/","4/","5/","6/","7/","8/","9/"},A38),15),""))</f>
        <v>6/128GB</v>
      </c>
      <c r="D38" s="6">
        <v>16786</v>
      </c>
    </row>
    <row r="39" spans="1:4" x14ac:dyDescent="0.25">
      <c r="A39" t="s">
        <v>41</v>
      </c>
      <c r="B39" t="str">
        <f t="shared" si="0"/>
        <v>Xiaomi</v>
      </c>
      <c r="C39" t="str" cm="1">
        <f t="array" ref="C39">_xlfn.TEXTJOIN("",TRUE,IFERROR(MID(A39,SEARCH({"0/","1/","2/","3/","4/","5/","6/","7/","8/","9/"},A39),15),""))</f>
        <v xml:space="preserve">8/256GB </v>
      </c>
      <c r="D39" s="6">
        <v>16787</v>
      </c>
    </row>
    <row r="40" spans="1:4" x14ac:dyDescent="0.25">
      <c r="A40" t="s">
        <v>42</v>
      </c>
      <c r="B40" t="str">
        <f t="shared" si="0"/>
        <v>Xiaomi</v>
      </c>
      <c r="C40" t="str" cm="1">
        <f t="array" ref="C40">_xlfn.TEXTJOIN("",TRUE,IFERROR(MID(A40,SEARCH({"0/","1/","2/","3/","4/","5/","6/","7/","8/","9/"},A40),15),""))</f>
        <v>2/256GB</v>
      </c>
      <c r="D40" s="6">
        <v>16788</v>
      </c>
    </row>
    <row r="41" spans="1:4" x14ac:dyDescent="0.25">
      <c r="A41" t="s">
        <v>43</v>
      </c>
      <c r="B41" t="str">
        <f t="shared" si="0"/>
        <v>Samsung</v>
      </c>
      <c r="C41" t="str" cm="1">
        <f t="array" ref="C41">_xlfn.TEXTJOIN("",TRUE,IFERROR(MID(A41,SEARCH({"0/","1/","2/","3/","4/","5/","6/","7/","8/","9/"},A41),15),""))</f>
        <v>8/256GB</v>
      </c>
      <c r="D41" s="6">
        <v>16789</v>
      </c>
    </row>
    <row r="42" spans="1:4" x14ac:dyDescent="0.25">
      <c r="A42" t="s">
        <v>44</v>
      </c>
      <c r="B42" t="str">
        <f t="shared" si="0"/>
        <v>realme</v>
      </c>
      <c r="C42" t="str" cm="1">
        <f t="array" ref="C42">_xlfn.TEXTJOIN("",TRUE,IFERROR(MID(A42,SEARCH({"0/","1/","2/","3/","4/","5/","6/","7/","8/","9/"},A42),15),""))</f>
        <v>4/64GB</v>
      </c>
      <c r="D42" s="6">
        <v>16790</v>
      </c>
    </row>
    <row r="43" spans="1:4" x14ac:dyDescent="0.25">
      <c r="A43" t="s">
        <v>45</v>
      </c>
      <c r="B43" t="str">
        <f t="shared" si="0"/>
        <v>realme</v>
      </c>
      <c r="C43" t="str" cm="1">
        <f t="array" ref="C43">_xlfn.TEXTJOIN("",TRUE,IFERROR(MID(A43,SEARCH({"0/","1/","2/","3/","4/","5/","6/","7/","8/","9/"},A43),15),""))</f>
        <v>4/128GB</v>
      </c>
      <c r="D43" s="6">
        <v>16791</v>
      </c>
    </row>
    <row r="44" spans="1:4" x14ac:dyDescent="0.25">
      <c r="A44" t="s">
        <v>46</v>
      </c>
      <c r="B44" t="str">
        <f t="shared" si="0"/>
        <v>Infinix</v>
      </c>
      <c r="C44" t="str" cm="1">
        <f t="array" ref="C44">_xlfn.TEXTJOIN("",TRUE,IFERROR(MID(A44,SEARCH({"0/","1/","2/","3/","4/","5/","6/","7/","8/","9/"},A44),15),""))</f>
        <v>6/128GB</v>
      </c>
      <c r="D44" s="6">
        <v>16792</v>
      </c>
    </row>
    <row r="45" spans="1:4" x14ac:dyDescent="0.25">
      <c r="A45" t="s">
        <v>47</v>
      </c>
      <c r="B45" t="str">
        <f t="shared" si="0"/>
        <v>Infinix</v>
      </c>
      <c r="C45" t="str" cm="1">
        <f t="array" ref="C45">_xlfn.TEXTJOIN("",TRUE,IFERROR(MID(A45,SEARCH({"0/","1/","2/","3/","4/","5/","6/","7/","8/","9/"},A45),15),""))</f>
        <v>4/128GB</v>
      </c>
      <c r="D45" s="6">
        <v>16793</v>
      </c>
    </row>
    <row r="46" spans="1:4" x14ac:dyDescent="0.25">
      <c r="A46" t="s">
        <v>0</v>
      </c>
      <c r="B46" t="str">
        <f t="shared" si="0"/>
        <v>Xtra</v>
      </c>
      <c r="C46" t="str" cm="1">
        <f t="array" ref="C46">_xlfn.TEXTJOIN("",TRUE,IFERROR(MID(A46,SEARCH({"0/","1/","2/","3/","4/","5/","6/","7/","8/","9/"},A46),15),""))</f>
        <v/>
      </c>
      <c r="D46" s="6">
        <v>16794</v>
      </c>
    </row>
    <row r="47" spans="1:4" x14ac:dyDescent="0.25">
      <c r="A47" t="s">
        <v>63</v>
      </c>
      <c r="B47" t="str">
        <f t="shared" si="0"/>
        <v>TECNO</v>
      </c>
      <c r="C47" t="str" cm="1">
        <f t="array" ref="C47">_xlfn.TEXTJOIN("",TRUE,IFERROR(MID(A47,SEARCH({"0/","1/","2/","3/","4/","5/","6/","7/","8/","9/"},A47),15),""))</f>
        <v>8/128GB</v>
      </c>
      <c r="D47" s="6">
        <v>16795</v>
      </c>
    </row>
    <row r="48" spans="1:4" x14ac:dyDescent="0.25">
      <c r="A48" t="s">
        <v>48</v>
      </c>
      <c r="B48" t="str">
        <f t="shared" si="0"/>
        <v>TECNO</v>
      </c>
      <c r="C48" t="str" cm="1">
        <f t="array" ref="C48">_xlfn.TEXTJOIN("",TRUE,IFERROR(MID(A48,SEARCH({"0/","1/","2/","3/","4/","5/","6/","7/","8/","9/"},A48),15),""))</f>
        <v>6/128GB</v>
      </c>
      <c r="D48" s="6">
        <v>16796</v>
      </c>
    </row>
    <row r="49" spans="1:4" x14ac:dyDescent="0.25">
      <c r="A49" t="s">
        <v>49</v>
      </c>
      <c r="B49" t="str">
        <f t="shared" si="0"/>
        <v>OPPO</v>
      </c>
      <c r="C49" t="str" cm="1">
        <f t="array" ref="C49">_xlfn.TEXTJOIN("",TRUE,IFERROR(MID(A49,SEARCH({"0/","1/","2/","3/","4/","5/","6/","7/","8/","9/"},A49),15),""))</f>
        <v>8/256GB</v>
      </c>
      <c r="D49" s="6">
        <v>16797</v>
      </c>
    </row>
    <row r="50" spans="1:4" x14ac:dyDescent="0.25">
      <c r="A50" t="s">
        <v>50</v>
      </c>
      <c r="B50" t="str">
        <f t="shared" si="0"/>
        <v>Tecno</v>
      </c>
      <c r="C50" t="str" cm="1">
        <f t="array" ref="C50">_xlfn.TEXTJOIN("",TRUE,IFERROR(MID(A50,SEARCH({"0/","1/","2/","3/","4/","5/","6/","7/","8/","9/"},A50),15),""))</f>
        <v>6/128GB</v>
      </c>
      <c r="D50" s="6">
        <v>16798</v>
      </c>
    </row>
    <row r="51" spans="1:4" x14ac:dyDescent="0.25">
      <c r="A51" t="s">
        <v>51</v>
      </c>
      <c r="B51" t="str">
        <f t="shared" si="0"/>
        <v>Tecno</v>
      </c>
      <c r="C51" t="str" cm="1">
        <f t="array" ref="C51">_xlfn.TEXTJOIN("",TRUE,IFERROR(MID(A51,SEARCH({"0/","1/","2/","3/","4/","5/","6/","7/","8/","9/"},A51),15),""))</f>
        <v>4/128GB</v>
      </c>
      <c r="D51" s="6">
        <v>16799</v>
      </c>
    </row>
    <row r="52" spans="1:4" x14ac:dyDescent="0.25">
      <c r="A52" t="s">
        <v>52</v>
      </c>
      <c r="B52" t="str">
        <f t="shared" si="0"/>
        <v>itel</v>
      </c>
      <c r="C52" t="str" cm="1">
        <f t="array" ref="C52">_xlfn.TEXTJOIN("",TRUE,IFERROR(MID(A52,SEARCH({"0/","1/","2/","3/","4/","5/","6/","7/","8/","9/"},A52),15),""))</f>
        <v>4/64GB</v>
      </c>
      <c r="D52" s="6">
        <v>16800</v>
      </c>
    </row>
    <row r="53" spans="1:4" x14ac:dyDescent="0.25">
      <c r="A53" t="s">
        <v>53</v>
      </c>
      <c r="B53" t="str">
        <f t="shared" si="0"/>
        <v>TECNO</v>
      </c>
      <c r="C53" t="str" cm="1">
        <f t="array" ref="C53">_xlfn.TEXTJOIN("",TRUE,IFERROR(MID(A53,SEARCH({"0/","1/","2/","3/","4/","5/","6/","7/","8/","9/"},A53),15),""))</f>
        <v>8/256GB</v>
      </c>
      <c r="D53" s="6">
        <v>16801</v>
      </c>
    </row>
    <row r="54" spans="1:4" x14ac:dyDescent="0.25">
      <c r="A54" t="s">
        <v>54</v>
      </c>
      <c r="B54" t="str">
        <f t="shared" si="0"/>
        <v>Infinix</v>
      </c>
      <c r="C54" t="str" cm="1">
        <f t="array" ref="C54">_xlfn.TEXTJOIN("",TRUE,IFERROR(MID(A54,SEARCH({"0/","1/","2/","3/","4/","5/","6/","7/","8/","9/"},A54),15),""))</f>
        <v>4/128GB</v>
      </c>
      <c r="D54" s="6">
        <v>16802</v>
      </c>
    </row>
    <row r="55" spans="1:4" x14ac:dyDescent="0.25">
      <c r="A55" t="s">
        <v>55</v>
      </c>
      <c r="B55" t="str">
        <f t="shared" si="0"/>
        <v>HONOR</v>
      </c>
      <c r="C55" t="str" cm="1">
        <f t="array" ref="C55">_xlfn.TEXTJOIN("",TRUE,IFERROR(MID(A55,SEARCH({"0/","1/","2/","3/","4/","5/","6/","7/","8/","9/"},A55),15),""))</f>
        <v>4/128GB</v>
      </c>
      <c r="D55" s="6">
        <v>16803</v>
      </c>
    </row>
    <row r="56" spans="1:4" x14ac:dyDescent="0.25">
      <c r="A56" t="s">
        <v>1</v>
      </c>
      <c r="B56" t="str">
        <f t="shared" si="0"/>
        <v>Nokia</v>
      </c>
      <c r="C56" t="str" cm="1">
        <f t="array" ref="C56">_xlfn.TEXTJOIN("",TRUE,IFERROR(MID(A56,SEARCH({"0/","1/","2/","3/","4/","5/","6/","7/","8/","9/"},A56),15),""))</f>
        <v/>
      </c>
      <c r="D56" s="6">
        <v>16804</v>
      </c>
    </row>
    <row r="57" spans="1:4" x14ac:dyDescent="0.25">
      <c r="A57" t="s">
        <v>56</v>
      </c>
      <c r="B57" t="str">
        <f t="shared" si="0"/>
        <v>itel</v>
      </c>
      <c r="C57" t="str" cm="1">
        <f t="array" ref="C57">_xlfn.TEXTJOIN("",TRUE,IFERROR(MID(A57,SEARCH({"0/","1/","2/","3/","4/","5/","6/","7/","8/","9/"},A57),15),""))</f>
        <v>4/64GB</v>
      </c>
      <c r="D57" s="6">
        <v>16805</v>
      </c>
    </row>
    <row r="58" spans="1:4" x14ac:dyDescent="0.25">
      <c r="A58" t="s">
        <v>57</v>
      </c>
      <c r="B58" t="str">
        <f t="shared" si="0"/>
        <v>TECNO</v>
      </c>
      <c r="C58" t="str" cm="1">
        <f t="array" ref="C58">_xlfn.TEXTJOIN("",TRUE,IFERROR(MID(A58,SEARCH({"0/","1/","2/","3/","4/","5/","6/","7/","8/","9/"},A58),15),""))</f>
        <v>4/128GB</v>
      </c>
      <c r="D58" s="6">
        <v>16806</v>
      </c>
    </row>
    <row r="59" spans="1:4" x14ac:dyDescent="0.25">
      <c r="A59" t="s">
        <v>58</v>
      </c>
      <c r="B59" t="str">
        <f t="shared" si="0"/>
        <v>TECNO</v>
      </c>
      <c r="C59" t="str" cm="1">
        <f t="array" ref="C59">_xlfn.TEXTJOIN("",TRUE,IFERROR(MID(A59,SEARCH({"0/","1/","2/","3/","4/","5/","6/","7/","8/","9/"},A59),15),""))</f>
        <v>4/64GB</v>
      </c>
      <c r="D59" s="6">
        <v>16807</v>
      </c>
    </row>
    <row r="60" spans="1:4" x14ac:dyDescent="0.25">
      <c r="A60" t="s">
        <v>2</v>
      </c>
      <c r="B60" t="str">
        <f t="shared" si="0"/>
        <v>Nokia</v>
      </c>
      <c r="C60" t="str" cm="1">
        <f t="array" ref="C60">_xlfn.TEXTJOIN("",TRUE,IFERROR(MID(A60,SEARCH({"0/","1/","2/","3/","4/","5/","6/","7/","8/","9/"},A60),15),""))</f>
        <v/>
      </c>
      <c r="D60" s="6">
        <v>16808</v>
      </c>
    </row>
    <row r="61" spans="1:4" x14ac:dyDescent="0.25">
      <c r="A61" t="s">
        <v>3</v>
      </c>
      <c r="B61" t="str">
        <f t="shared" si="0"/>
        <v>Nokia</v>
      </c>
      <c r="C61" t="str" cm="1">
        <f t="array" ref="C61">_xlfn.TEXTJOIN("",TRUE,IFERROR(MID(A61,SEARCH({"0/","1/","2/","3/","4/","5/","6/","7/","8/","9/"},A61),15),""))</f>
        <v/>
      </c>
      <c r="D61" s="6">
        <v>16809</v>
      </c>
    </row>
  </sheetData>
  <phoneticPr fontId="18" type="noConversion"/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Dewan Hamim</dc:creator>
  <cp:lastModifiedBy>Shamim Dewan Hamim</cp:lastModifiedBy>
  <dcterms:created xsi:type="dcterms:W3CDTF">2026-05-14T04:03:38Z</dcterms:created>
  <dcterms:modified xsi:type="dcterms:W3CDTF">2026-05-16T14:14:36Z</dcterms:modified>
</cp:coreProperties>
</file>